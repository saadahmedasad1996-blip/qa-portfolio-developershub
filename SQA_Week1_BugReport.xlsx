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ad Ahmed Asad\Downloads\"/>
    </mc:Choice>
  </mc:AlternateContent>
  <xr:revisionPtr revIDLastSave="0" documentId="13_ncr:1_{0F4D3F58-5F2C-48F0-A73C-2957F1B5553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ug Report" sheetId="1" r:id="rId1"/>
    <sheet name="Summary Dashboard" sheetId="2" r:id="rId2"/>
    <sheet name="SDLC-STLC Reference" sheetId="3" r:id="rId3"/>
  </sheets>
  <calcPr calcId="181029"/>
</workbook>
</file>

<file path=xl/calcChain.xml><?xml version="1.0" encoding="utf-8"?>
<calcChain xmlns="http://schemas.openxmlformats.org/spreadsheetml/2006/main">
  <c r="B22" i="2" l="1"/>
  <c r="B21" i="2"/>
  <c r="B20" i="2"/>
  <c r="B19" i="2"/>
  <c r="B15" i="2"/>
  <c r="B14" i="2"/>
  <c r="B13" i="2"/>
  <c r="B12" i="2"/>
  <c r="B9" i="2"/>
  <c r="B8" i="2"/>
  <c r="B7" i="2"/>
  <c r="B6" i="2"/>
  <c r="B5" i="2"/>
</calcChain>
</file>

<file path=xl/sharedStrings.xml><?xml version="1.0" encoding="utf-8"?>
<sst xmlns="http://schemas.openxmlformats.org/spreadsheetml/2006/main" count="180" uniqueCount="127">
  <si>
    <t>DevelopersHub Corporation – Software Quality Assurance</t>
  </si>
  <si>
    <t>Week 1 Bug Report  |  Application: To-Do List &amp; Login/Signup System  |  May 2026</t>
  </si>
  <si>
    <t>Bug ID</t>
  </si>
  <si>
    <t>Module</t>
  </si>
  <si>
    <t>Description</t>
  </si>
  <si>
    <t>Severity</t>
  </si>
  <si>
    <t>Priority</t>
  </si>
  <si>
    <t>Steps to Reproduce</t>
  </si>
  <si>
    <t>Expected Result</t>
  </si>
  <si>
    <t>Actual Result</t>
  </si>
  <si>
    <t>Environment</t>
  </si>
  <si>
    <t>Status</t>
  </si>
  <si>
    <t>Reported By</t>
  </si>
  <si>
    <t>BUG-001</t>
  </si>
  <si>
    <t>Login</t>
  </si>
  <si>
    <t>No validation on empty login form submission</t>
  </si>
  <si>
    <t>High</t>
  </si>
  <si>
    <t>1. Open login page
2. Leave email &amp; password blank
3. Click Login</t>
  </si>
  <si>
    <t>Validation errors shown for empty fields</t>
  </si>
  <si>
    <t>Form submits with no error; blank page renders</t>
  </si>
  <si>
    <t>Chrome 124 / Win11</t>
  </si>
  <si>
    <t>Open</t>
  </si>
  <si>
    <t>QA Team</t>
  </si>
  <si>
    <t>BUG-002</t>
  </si>
  <si>
    <t>Signup</t>
  </si>
  <si>
    <t>Password mismatch not caught on registration</t>
  </si>
  <si>
    <t>1. Go to signup
2. Enter password: Pass@123
3. Enter confirm: Pass@999
4. Click Register</t>
  </si>
  <si>
    <t>Error: 'Passwords do not match'</t>
  </si>
  <si>
    <t>Registration proceeds; app crashes on backend</t>
  </si>
  <si>
    <t>BUG-003</t>
  </si>
  <si>
    <t>Invalid email format accepted and causes 500 error</t>
  </si>
  <si>
    <t>Critical</t>
  </si>
  <si>
    <t>1. Go to signup
2. Enter email: user@@mail
3. Fill other fields
4. Click Register</t>
  </si>
  <si>
    <t>Inline validation: 'Enter a valid email address'</t>
  </si>
  <si>
    <t>Form submits; server returns HTTP 500 Internal Server Error</t>
  </si>
  <si>
    <t>Firefox 125 / macOS</t>
  </si>
  <si>
    <t>BUG-004</t>
  </si>
  <si>
    <t>To-Do</t>
  </si>
  <si>
    <t>Empty task can be created with no title</t>
  </si>
  <si>
    <t>Medium</t>
  </si>
  <si>
    <t>1. Log in
2. Click Add Task
3. Leave title blank
4. Click Save</t>
  </si>
  <si>
    <t>Validation error: 'Task title cannot be empty'</t>
  </si>
  <si>
    <t>Blank task saved and appears in task list</t>
  </si>
  <si>
    <t>BUG-005</t>
  </si>
  <si>
    <t>Edit task does not save updated title</t>
  </si>
  <si>
    <t>1. Click edit icon on existing task
2. Modify title text
3. Click Save</t>
  </si>
  <si>
    <t>Task title updated in list immediately</t>
  </si>
  <si>
    <t>Edit modal closes but old title remains; update silently fails</t>
  </si>
  <si>
    <t>BUG-006</t>
  </si>
  <si>
    <t>Completed filter shows all tasks instead of only completed</t>
  </si>
  <si>
    <t>1. Mark 2 tasks complete
2. Click 'Completed' filter tab</t>
  </si>
  <si>
    <t>Only completed tasks displayed</t>
  </si>
  <si>
    <t>All tasks (active + completed) displayed in Completed tab</t>
  </si>
  <si>
    <t>BUG-007</t>
  </si>
  <si>
    <t>UI</t>
  </si>
  <si>
    <t>Login form overflows viewport on 375px mobile screen</t>
  </si>
  <si>
    <t>1. Open DevTools
2. Set viewport to 375px
3. Navigate to login page</t>
  </si>
  <si>
    <t>Responsive layout; no horizontal scrollbar</t>
  </si>
  <si>
    <t>Login form extends beyond screen width; horizontal scroll appears</t>
  </si>
  <si>
    <t>Chrome DevTools / Mobile Emulation</t>
  </si>
  <si>
    <t>BUG-008</t>
  </si>
  <si>
    <t>Page load time exceeds 3-second threshold (5.2 s recorded)</t>
  </si>
  <si>
    <t>1. Clear browser cache
2. Open Network tab in DevTools
3. Navigate to home page</t>
  </si>
  <si>
    <t>Full page load &lt;= 3 seconds</t>
  </si>
  <si>
    <t>Load time: 5.2 s due to unoptimized image assets (2.1 MB)</t>
  </si>
  <si>
    <t>Chrome 124 / 100 Mbps connection</t>
  </si>
  <si>
    <t>BUG-009</t>
  </si>
  <si>
    <t>Password input field missing placeholder text</t>
  </si>
  <si>
    <t>Low</t>
  </si>
  <si>
    <t>1. Open login or signup page
2. Inspect password input field</t>
  </si>
  <si>
    <t>Placeholder text indicating expected format (e.g., 'Enter password')</t>
  </si>
  <si>
    <t>Password field renders with no placeholder; users unaware of requirements</t>
  </si>
  <si>
    <t>SQA Week 1 – Bug Report Summary</t>
  </si>
  <si>
    <t>DevelopersHub Corporation  |  May 2026</t>
  </si>
  <si>
    <t>Metric</t>
  </si>
  <si>
    <t>Count</t>
  </si>
  <si>
    <t>Total Bugs Reported</t>
  </si>
  <si>
    <t>In Progress</t>
  </si>
  <si>
    <t>Resolved</t>
  </si>
  <si>
    <t>Closed</t>
  </si>
  <si>
    <t>Bugs Found</t>
  </si>
  <si>
    <t>SDLC vs STLC – Quick Reference</t>
  </si>
  <si>
    <t>SDLC Phase</t>
  </si>
  <si>
    <t>QA Role</t>
  </si>
  <si>
    <t>1. Planning</t>
  </si>
  <si>
    <t>Define project scope, timeline, resources</t>
  </si>
  <si>
    <t>Review requirements, plan test strategy</t>
  </si>
  <si>
    <t>2. Requirements</t>
  </si>
  <si>
    <t>Gather and document functional requirements</t>
  </si>
  <si>
    <t>Analyze requirements for testability</t>
  </si>
  <si>
    <t>3. System Design</t>
  </si>
  <si>
    <t>Architect solution, database, UI mockups</t>
  </si>
  <si>
    <t>Design test cases from design specs</t>
  </si>
  <si>
    <t>4. Implementation</t>
  </si>
  <si>
    <t>Developers write and unit-test code</t>
  </si>
  <si>
    <t>Prepare test environment and test data</t>
  </si>
  <si>
    <t>5. Testing</t>
  </si>
  <si>
    <t>Validate software meets requirements</t>
  </si>
  <si>
    <t>Execute manual &amp; automated test cases</t>
  </si>
  <si>
    <t>6. Deployment</t>
  </si>
  <si>
    <t>Release to production environment</t>
  </si>
  <si>
    <t>Perform smoke &amp; regression testing</t>
  </si>
  <si>
    <t>7. Maintenance</t>
  </si>
  <si>
    <t>Monitor, patch, and update the application</t>
  </si>
  <si>
    <t>Regression test after each update</t>
  </si>
  <si>
    <t>STLC Phases</t>
  </si>
  <si>
    <t>STLC Phase</t>
  </si>
  <si>
    <t>Entry Criteria</t>
  </si>
  <si>
    <t>Deliverable</t>
  </si>
  <si>
    <t>1. Requirement Analysis</t>
  </si>
  <si>
    <t>Requirements document available</t>
  </si>
  <si>
    <t>Requirements Traceability Matrix (RTM)</t>
  </si>
  <si>
    <t>2. Test Planning</t>
  </si>
  <si>
    <t>Requirements analyzed</t>
  </si>
  <si>
    <t>Test Plan Document</t>
  </si>
  <si>
    <t>3. Test Case Development</t>
  </si>
  <si>
    <t>Test plan approved</t>
  </si>
  <si>
    <t>Test Cases, Test Data</t>
  </si>
  <si>
    <t>4. Test Environment Setup</t>
  </si>
  <si>
    <t>Test cases ready</t>
  </si>
  <si>
    <t>Configured test environment</t>
  </si>
  <si>
    <t>5. Test Execution</t>
  </si>
  <si>
    <t>Test environment ready</t>
  </si>
  <si>
    <t>Test results, Bug Reports</t>
  </si>
  <si>
    <t>6. Test Closure</t>
  </si>
  <si>
    <t>All tests executed, bugs fixed or deferred</t>
  </si>
  <si>
    <t>Test Closure Report, Metrics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</si>
</sst>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sz val="11"/>
      <color rgb="FFFFFFFF"/>
      <name val="Arial"/>
    </font>
    <font>
      <b/>
      <sz val="11"/>
      <color rgb="FFFFFFFF"/>
      <name val="Arial"/>
    </font>
    <font>
      <sz val="10"/>
      <color rgb="FF000000"/>
      <name val="Arial"/>
    </font>
    <font>
      <b/>
      <sz val="10"/>
      <color rgb="FFC00000"/>
      <name val="Arial"/>
    </font>
    <font>
      <b/>
      <sz val="10"/>
      <color rgb="FF000000"/>
      <name val="Arial"/>
    </font>
    <font>
      <b/>
      <sz val="10"/>
      <color rgb="FF9C0006"/>
      <name val="Arial"/>
    </font>
    <font>
      <b/>
      <sz val="10"/>
      <color rgb="FF7B6000"/>
      <name val="Arial"/>
    </font>
    <font>
      <b/>
      <sz val="10"/>
      <color rgb="FF375623"/>
      <name val="Arial"/>
    </font>
    <font>
      <b/>
      <sz val="15"/>
      <color rgb="FFFFFFFF"/>
      <name val="Arial"/>
    </font>
    <font>
      <b/>
      <sz val="11"/>
      <color rgb="FF000000"/>
      <name val="Arial"/>
    </font>
    <font>
      <b/>
      <sz val="11"/>
      <color rgb="FF9C0006"/>
      <name val="Arial"/>
    </font>
    <font>
      <b/>
      <sz val="11"/>
      <color rgb="FFC00000"/>
      <name val="Arial"/>
    </font>
    <font>
      <b/>
      <sz val="11"/>
      <color rgb="FF7B6000"/>
      <name val="Arial"/>
    </font>
    <font>
      <b/>
      <sz val="11"/>
      <color rgb="FF375623"/>
      <name val="Arial"/>
    </font>
    <font>
      <b/>
      <sz val="14"/>
      <color rgb="FFFFFFFF"/>
      <name val="Arial"/>
    </font>
    <font>
      <b/>
      <sz val="10"/>
      <color rgb="FFFFFFFF"/>
      <name val="Arial"/>
    </font>
    <font>
      <b/>
      <sz val="13"/>
      <color rgb="FFFFFFFF"/>
      <name val="Arial"/>
    </font>
    <font>
      <sz val="10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4F8FD"/>
      </patternFill>
    </fill>
    <fill>
      <patternFill patternType="solid">
        <fgColor rgb="FFFCE4D6"/>
      </patternFill>
    </fill>
    <fill>
      <patternFill patternType="solid">
        <fgColor rgb="FFFFC7CE"/>
      </patternFill>
    </fill>
    <fill>
      <patternFill patternType="solid">
        <fgColor rgb="FFFFFFFF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E2EFDA"/>
      </patternFill>
    </fill>
    <fill>
      <patternFill patternType="solid">
        <fgColor rgb="FFD6E4F0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75B6"/>
  </sheetPr>
  <dimension ref="A1:K13"/>
  <sheetViews>
    <sheetView showGridLines="0" tabSelected="1" workbookViewId="0">
      <pane ySplit="4" topLeftCell="A7" activePane="bottomLeft" state="frozen"/>
      <selection pane="bottomLeft" activeCell="C10" sqref="C10"/>
    </sheetView>
  </sheetViews>
  <sheetFormatPr defaultRowHeight="15" x14ac:dyDescent="0.25"/>
  <cols>
    <col min="1" max="1" width="10" customWidth="1"/>
    <col min="2" max="2" width="12" customWidth="1"/>
    <col min="3" max="3" width="36" customWidth="1"/>
    <col min="4" max="4" width="12" customWidth="1"/>
    <col min="5" max="5" width="10" customWidth="1"/>
    <col min="6" max="6" width="42" customWidth="1"/>
    <col min="7" max="8" width="32" customWidth="1"/>
    <col min="9" max="9" width="18" customWidth="1"/>
    <col min="10" max="10" width="13" customWidth="1"/>
    <col min="11" max="11" width="16" customWidth="1"/>
  </cols>
  <sheetData>
    <row r="1" spans="1:11" ht="32.1" customHeight="1" x14ac:dyDescent="0.25">
      <c r="A1" s="25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1" ht="21.95" customHeight="1" x14ac:dyDescent="0.25">
      <c r="A2" s="23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1" ht="8.1" customHeight="1" x14ac:dyDescent="0.25"/>
    <row r="4" spans="1:11" ht="21.9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5" spans="1:11" ht="56.1" customHeight="1" x14ac:dyDescent="0.25">
      <c r="A5" s="2" t="s">
        <v>13</v>
      </c>
      <c r="B5" s="3" t="s">
        <v>14</v>
      </c>
      <c r="C5" s="3" t="s">
        <v>15</v>
      </c>
      <c r="D5" s="4" t="s">
        <v>16</v>
      </c>
      <c r="E5" s="5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6" t="s">
        <v>21</v>
      </c>
      <c r="K5" s="3" t="s">
        <v>22</v>
      </c>
    </row>
    <row r="6" spans="1:11" ht="56.1" customHeight="1" x14ac:dyDescent="0.25">
      <c r="A6" s="7" t="s">
        <v>23</v>
      </c>
      <c r="B6" s="8" t="s">
        <v>24</v>
      </c>
      <c r="C6" s="8" t="s">
        <v>25</v>
      </c>
      <c r="D6" s="4" t="s">
        <v>16</v>
      </c>
      <c r="E6" s="5" t="s">
        <v>16</v>
      </c>
      <c r="F6" s="8" t="s">
        <v>26</v>
      </c>
      <c r="G6" s="8" t="s">
        <v>27</v>
      </c>
      <c r="H6" s="8" t="s">
        <v>28</v>
      </c>
      <c r="I6" s="8" t="s">
        <v>20</v>
      </c>
      <c r="J6" s="6" t="s">
        <v>21</v>
      </c>
      <c r="K6" s="8" t="s">
        <v>22</v>
      </c>
    </row>
    <row r="7" spans="1:11" ht="56.1" customHeight="1" x14ac:dyDescent="0.25">
      <c r="A7" s="2" t="s">
        <v>29</v>
      </c>
      <c r="B7" s="3" t="s">
        <v>24</v>
      </c>
      <c r="C7" s="3" t="s">
        <v>30</v>
      </c>
      <c r="D7" s="6" t="s">
        <v>31</v>
      </c>
      <c r="E7" s="5" t="s">
        <v>16</v>
      </c>
      <c r="F7" s="3" t="s">
        <v>32</v>
      </c>
      <c r="G7" s="3" t="s">
        <v>33</v>
      </c>
      <c r="H7" s="3" t="s">
        <v>34</v>
      </c>
      <c r="I7" s="3" t="s">
        <v>35</v>
      </c>
      <c r="J7" s="6" t="s">
        <v>21</v>
      </c>
      <c r="K7" s="3" t="s">
        <v>22</v>
      </c>
    </row>
    <row r="8" spans="1:11" ht="56.1" customHeight="1" x14ac:dyDescent="0.25">
      <c r="A8" s="7" t="s">
        <v>36</v>
      </c>
      <c r="B8" s="8" t="s">
        <v>37</v>
      </c>
      <c r="C8" s="8" t="s">
        <v>38</v>
      </c>
      <c r="D8" s="9" t="s">
        <v>39</v>
      </c>
      <c r="E8" s="10" t="s">
        <v>39</v>
      </c>
      <c r="F8" s="8" t="s">
        <v>40</v>
      </c>
      <c r="G8" s="8" t="s">
        <v>41</v>
      </c>
      <c r="H8" s="8" t="s">
        <v>42</v>
      </c>
      <c r="I8" s="8" t="s">
        <v>20</v>
      </c>
      <c r="J8" s="6" t="s">
        <v>21</v>
      </c>
      <c r="K8" s="8" t="s">
        <v>22</v>
      </c>
    </row>
    <row r="9" spans="1:11" ht="56.1" customHeight="1" x14ac:dyDescent="0.25">
      <c r="A9" s="2" t="s">
        <v>43</v>
      </c>
      <c r="B9" s="3" t="s">
        <v>37</v>
      </c>
      <c r="C9" s="3" t="s">
        <v>44</v>
      </c>
      <c r="D9" s="4" t="s">
        <v>16</v>
      </c>
      <c r="E9" s="5" t="s">
        <v>16</v>
      </c>
      <c r="F9" s="3" t="s">
        <v>45</v>
      </c>
      <c r="G9" s="3" t="s">
        <v>46</v>
      </c>
      <c r="H9" s="29" t="s">
        <v>47</v>
      </c>
      <c r="I9" s="3" t="s">
        <v>20</v>
      </c>
      <c r="J9" s="6" t="s">
        <v>21</v>
      </c>
      <c r="K9" s="3" t="s">
        <v>22</v>
      </c>
    </row>
    <row r="10" spans="1:11" ht="56.1" customHeight="1" x14ac:dyDescent="0.25">
      <c r="A10" s="7" t="s">
        <v>48</v>
      </c>
      <c r="B10" s="8" t="s">
        <v>37</v>
      </c>
      <c r="C10" s="8" t="s">
        <v>49</v>
      </c>
      <c r="D10" s="9" t="s">
        <v>39</v>
      </c>
      <c r="E10" s="10" t="s">
        <v>39</v>
      </c>
      <c r="F10" s="8" t="s">
        <v>50</v>
      </c>
      <c r="G10" s="8" t="s">
        <v>51</v>
      </c>
      <c r="H10" s="8" t="s">
        <v>52</v>
      </c>
      <c r="I10" s="8" t="s">
        <v>20</v>
      </c>
      <c r="J10" s="6" t="s">
        <v>21</v>
      </c>
      <c r="K10" s="8" t="s">
        <v>22</v>
      </c>
    </row>
    <row r="11" spans="1:11" ht="56.1" customHeight="1" x14ac:dyDescent="0.25">
      <c r="A11" s="2" t="s">
        <v>53</v>
      </c>
      <c r="B11" s="3" t="s">
        <v>54</v>
      </c>
      <c r="C11" s="3" t="s">
        <v>55</v>
      </c>
      <c r="D11" s="4" t="s">
        <v>16</v>
      </c>
      <c r="E11" s="5" t="s">
        <v>16</v>
      </c>
      <c r="F11" s="3" t="s">
        <v>56</v>
      </c>
      <c r="G11" s="3" t="s">
        <v>57</v>
      </c>
      <c r="H11" s="3" t="s">
        <v>58</v>
      </c>
      <c r="I11" s="3" t="s">
        <v>59</v>
      </c>
      <c r="J11" s="6" t="s">
        <v>21</v>
      </c>
      <c r="K11" s="3" t="s">
        <v>22</v>
      </c>
    </row>
    <row r="12" spans="1:11" ht="56.1" customHeight="1" x14ac:dyDescent="0.25">
      <c r="A12" s="7" t="s">
        <v>60</v>
      </c>
      <c r="B12" s="8" t="s">
        <v>54</v>
      </c>
      <c r="C12" s="8" t="s">
        <v>61</v>
      </c>
      <c r="D12" s="9" t="s">
        <v>39</v>
      </c>
      <c r="E12" s="10" t="s">
        <v>39</v>
      </c>
      <c r="F12" s="8" t="s">
        <v>62</v>
      </c>
      <c r="G12" s="8" t="s">
        <v>63</v>
      </c>
      <c r="H12" s="8" t="s">
        <v>64</v>
      </c>
      <c r="I12" s="8" t="s">
        <v>65</v>
      </c>
      <c r="J12" s="6" t="s">
        <v>21</v>
      </c>
      <c r="K12" s="8" t="s">
        <v>22</v>
      </c>
    </row>
    <row r="13" spans="1:11" ht="56.1" customHeight="1" x14ac:dyDescent="0.25">
      <c r="A13" s="2" t="s">
        <v>66</v>
      </c>
      <c r="B13" s="3" t="s">
        <v>54</v>
      </c>
      <c r="C13" s="3" t="s">
        <v>67</v>
      </c>
      <c r="D13" s="11" t="s">
        <v>68</v>
      </c>
      <c r="E13" s="12" t="s">
        <v>68</v>
      </c>
      <c r="F13" s="3" t="s">
        <v>69</v>
      </c>
      <c r="G13" s="3" t="s">
        <v>70</v>
      </c>
      <c r="H13" s="3" t="s">
        <v>71</v>
      </c>
      <c r="I13" s="3" t="s">
        <v>20</v>
      </c>
      <c r="J13" s="6" t="s">
        <v>21</v>
      </c>
      <c r="K13" s="3" t="s">
        <v>22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75623"/>
  </sheetPr>
  <dimension ref="A1:F22"/>
  <sheetViews>
    <sheetView showGridLines="0" workbookViewId="0"/>
  </sheetViews>
  <sheetFormatPr defaultRowHeight="15" x14ac:dyDescent="0.25"/>
  <cols>
    <col min="1" max="1" width="26" customWidth="1"/>
    <col min="2" max="2" width="16" customWidth="1"/>
  </cols>
  <sheetData>
    <row r="1" spans="1:6" ht="30" customHeight="1" x14ac:dyDescent="0.25">
      <c r="A1" s="26" t="s">
        <v>72</v>
      </c>
      <c r="B1" s="24"/>
      <c r="C1" s="24"/>
      <c r="D1" s="24"/>
      <c r="E1" s="24"/>
      <c r="F1" s="24"/>
    </row>
    <row r="2" spans="1:6" ht="20.100000000000001" customHeight="1" x14ac:dyDescent="0.25">
      <c r="A2" s="23" t="s">
        <v>73</v>
      </c>
      <c r="B2" s="24"/>
      <c r="C2" s="24"/>
      <c r="D2" s="24"/>
      <c r="E2" s="24"/>
      <c r="F2" s="24"/>
    </row>
    <row r="4" spans="1:6" ht="20.100000000000001" customHeight="1" x14ac:dyDescent="0.25">
      <c r="A4" s="1" t="s">
        <v>74</v>
      </c>
      <c r="B4" s="1" t="s">
        <v>75</v>
      </c>
    </row>
    <row r="5" spans="1:6" ht="21.95" customHeight="1" x14ac:dyDescent="0.25">
      <c r="A5" s="13" t="s">
        <v>76</v>
      </c>
      <c r="B5" s="14">
        <f>COUNTA('Bug Report'!A5:A13)</f>
        <v>9</v>
      </c>
    </row>
    <row r="6" spans="1:6" ht="21.95" customHeight="1" x14ac:dyDescent="0.25">
      <c r="A6" s="13" t="s">
        <v>21</v>
      </c>
      <c r="B6" s="14">
        <f>COUNTIF('Bug Report'!J5:J13,"Open")</f>
        <v>9</v>
      </c>
    </row>
    <row r="7" spans="1:6" ht="21.95" customHeight="1" x14ac:dyDescent="0.25">
      <c r="A7" s="13" t="s">
        <v>77</v>
      </c>
      <c r="B7" s="14">
        <f>COUNTIF('Bug Report'!J5:J13,"In Progress")</f>
        <v>0</v>
      </c>
    </row>
    <row r="8" spans="1:6" ht="21.95" customHeight="1" x14ac:dyDescent="0.25">
      <c r="A8" s="13" t="s">
        <v>78</v>
      </c>
      <c r="B8" s="14">
        <f>COUNTIF('Bug Report'!J5:J13,"Resolved")</f>
        <v>0</v>
      </c>
    </row>
    <row r="9" spans="1:6" ht="21.95" customHeight="1" x14ac:dyDescent="0.25">
      <c r="A9" s="13" t="s">
        <v>79</v>
      </c>
      <c r="B9" s="14">
        <f>COUNTIF('Bug Report'!J5:J13,"Closed")</f>
        <v>0</v>
      </c>
    </row>
    <row r="11" spans="1:6" ht="20.100000000000001" customHeight="1" x14ac:dyDescent="0.25">
      <c r="A11" s="1" t="s">
        <v>5</v>
      </c>
      <c r="B11" s="1" t="s">
        <v>75</v>
      </c>
    </row>
    <row r="12" spans="1:6" ht="21.95" customHeight="1" x14ac:dyDescent="0.25">
      <c r="A12" s="15" t="s">
        <v>31</v>
      </c>
      <c r="B12" s="15">
        <f>COUNTIF('Bug Report'!D5:D13,"Critical")</f>
        <v>1</v>
      </c>
    </row>
    <row r="13" spans="1:6" ht="21.95" customHeight="1" x14ac:dyDescent="0.25">
      <c r="A13" s="16" t="s">
        <v>16</v>
      </c>
      <c r="B13" s="16">
        <f>COUNTIF('Bug Report'!D5:D13,"High")</f>
        <v>4</v>
      </c>
    </row>
    <row r="14" spans="1:6" ht="21.95" customHeight="1" x14ac:dyDescent="0.25">
      <c r="A14" s="17" t="s">
        <v>39</v>
      </c>
      <c r="B14" s="17">
        <f>COUNTIF('Bug Report'!D5:D13,"Medium")</f>
        <v>3</v>
      </c>
    </row>
    <row r="15" spans="1:6" ht="21.95" customHeight="1" x14ac:dyDescent="0.25">
      <c r="A15" s="18" t="s">
        <v>68</v>
      </c>
      <c r="B15" s="18">
        <f>COUNTIF('Bug Report'!D5:D13,"Low")</f>
        <v>1</v>
      </c>
    </row>
    <row r="18" spans="1:2" ht="20.100000000000001" customHeight="1" x14ac:dyDescent="0.25">
      <c r="A18" s="1" t="s">
        <v>3</v>
      </c>
      <c r="B18" s="1" t="s">
        <v>80</v>
      </c>
    </row>
    <row r="19" spans="1:2" ht="21.95" customHeight="1" x14ac:dyDescent="0.25">
      <c r="A19" s="13" t="s">
        <v>14</v>
      </c>
      <c r="B19" s="14">
        <f>COUNTIF('Bug Report'!B5:B13,"Login")</f>
        <v>1</v>
      </c>
    </row>
    <row r="20" spans="1:2" ht="21.95" customHeight="1" x14ac:dyDescent="0.25">
      <c r="A20" s="13" t="s">
        <v>24</v>
      </c>
      <c r="B20" s="14">
        <f>COUNTIF('Bug Report'!B5:B13,"Signup")</f>
        <v>2</v>
      </c>
    </row>
    <row r="21" spans="1:2" ht="21.95" customHeight="1" x14ac:dyDescent="0.25">
      <c r="A21" s="13" t="s">
        <v>37</v>
      </c>
      <c r="B21" s="14">
        <f>COUNTIF('Bug Report'!B5:B13,"To-Do")</f>
        <v>3</v>
      </c>
    </row>
    <row r="22" spans="1:2" ht="21.95" customHeight="1" x14ac:dyDescent="0.25">
      <c r="A22" s="13" t="s">
        <v>54</v>
      </c>
      <c r="B22" s="14">
        <f>COUNTIF('Bug Report'!B5:B13,"UI")</f>
        <v>3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B6000"/>
  </sheetPr>
  <dimension ref="A1:C20"/>
  <sheetViews>
    <sheetView showGridLines="0" workbookViewId="0"/>
  </sheetViews>
  <sheetFormatPr defaultRowHeight="15" x14ac:dyDescent="0.25"/>
  <cols>
    <col min="1" max="1" width="22" customWidth="1"/>
    <col min="2" max="3" width="46" customWidth="1"/>
  </cols>
  <sheetData>
    <row r="1" spans="1:3" ht="27.95" customHeight="1" x14ac:dyDescent="0.25">
      <c r="A1" s="27" t="s">
        <v>81</v>
      </c>
      <c r="B1" s="24"/>
      <c r="C1" s="24"/>
    </row>
    <row r="3" spans="1:3" ht="27.95" customHeight="1" x14ac:dyDescent="0.25">
      <c r="A3" s="19" t="s">
        <v>82</v>
      </c>
      <c r="B3" s="20" t="s">
        <v>4</v>
      </c>
      <c r="C3" s="20" t="s">
        <v>83</v>
      </c>
    </row>
    <row r="4" spans="1:3" ht="27.95" customHeight="1" x14ac:dyDescent="0.25">
      <c r="A4" s="21" t="s">
        <v>84</v>
      </c>
      <c r="B4" s="22" t="s">
        <v>85</v>
      </c>
      <c r="C4" s="22" t="s">
        <v>86</v>
      </c>
    </row>
    <row r="5" spans="1:3" ht="27.95" customHeight="1" x14ac:dyDescent="0.25">
      <c r="A5" s="7" t="s">
        <v>87</v>
      </c>
      <c r="B5" s="8" t="s">
        <v>88</v>
      </c>
      <c r="C5" s="8" t="s">
        <v>89</v>
      </c>
    </row>
    <row r="6" spans="1:3" ht="27.95" customHeight="1" x14ac:dyDescent="0.25">
      <c r="A6" s="21" t="s">
        <v>90</v>
      </c>
      <c r="B6" s="22" t="s">
        <v>91</v>
      </c>
      <c r="C6" s="22" t="s">
        <v>92</v>
      </c>
    </row>
    <row r="7" spans="1:3" ht="27.95" customHeight="1" x14ac:dyDescent="0.25">
      <c r="A7" s="7" t="s">
        <v>93</v>
      </c>
      <c r="B7" s="8" t="s">
        <v>94</v>
      </c>
      <c r="C7" s="8" t="s">
        <v>95</v>
      </c>
    </row>
    <row r="8" spans="1:3" ht="27.95" customHeight="1" x14ac:dyDescent="0.25">
      <c r="A8" s="21" t="s">
        <v>96</v>
      </c>
      <c r="B8" s="22" t="s">
        <v>97</v>
      </c>
      <c r="C8" s="22" t="s">
        <v>98</v>
      </c>
    </row>
    <row r="9" spans="1:3" ht="27.95" customHeight="1" x14ac:dyDescent="0.25">
      <c r="A9" s="7" t="s">
        <v>99</v>
      </c>
      <c r="B9" s="8" t="s">
        <v>100</v>
      </c>
      <c r="C9" s="8" t="s">
        <v>101</v>
      </c>
    </row>
    <row r="10" spans="1:3" ht="27.95" customHeight="1" x14ac:dyDescent="0.25">
      <c r="A10" s="21" t="s">
        <v>102</v>
      </c>
      <c r="B10" s="22" t="s">
        <v>103</v>
      </c>
      <c r="C10" s="22" t="s">
        <v>104</v>
      </c>
    </row>
    <row r="12" spans="1:3" ht="12" customHeight="1" x14ac:dyDescent="0.25"/>
    <row r="13" spans="1:3" ht="26.1" customHeight="1" x14ac:dyDescent="0.25">
      <c r="A13" s="28" t="s">
        <v>105</v>
      </c>
      <c r="B13" s="24"/>
      <c r="C13" s="24"/>
    </row>
    <row r="14" spans="1:3" ht="27.95" customHeight="1" x14ac:dyDescent="0.25">
      <c r="A14" s="19" t="s">
        <v>106</v>
      </c>
      <c r="B14" s="20" t="s">
        <v>107</v>
      </c>
      <c r="C14" s="20" t="s">
        <v>108</v>
      </c>
    </row>
    <row r="15" spans="1:3" ht="27.95" customHeight="1" x14ac:dyDescent="0.25">
      <c r="A15" s="7" t="s">
        <v>109</v>
      </c>
      <c r="B15" s="8" t="s">
        <v>110</v>
      </c>
      <c r="C15" s="8" t="s">
        <v>111</v>
      </c>
    </row>
    <row r="16" spans="1:3" ht="27.95" customHeight="1" x14ac:dyDescent="0.25">
      <c r="A16" s="21" t="s">
        <v>112</v>
      </c>
      <c r="B16" s="22" t="s">
        <v>113</v>
      </c>
      <c r="C16" s="22" t="s">
        <v>114</v>
      </c>
    </row>
    <row r="17" spans="1:3" ht="27.95" customHeight="1" x14ac:dyDescent="0.25">
      <c r="A17" s="7" t="s">
        <v>115</v>
      </c>
      <c r="B17" s="8" t="s">
        <v>116</v>
      </c>
      <c r="C17" s="8" t="s">
        <v>117</v>
      </c>
    </row>
    <row r="18" spans="1:3" ht="27.95" customHeight="1" x14ac:dyDescent="0.25">
      <c r="A18" s="21" t="s">
        <v>118</v>
      </c>
      <c r="B18" s="22" t="s">
        <v>119</v>
      </c>
      <c r="C18" s="22" t="s">
        <v>120</v>
      </c>
    </row>
    <row r="19" spans="1:3" ht="27.95" customHeight="1" x14ac:dyDescent="0.25">
      <c r="A19" s="7" t="s">
        <v>121</v>
      </c>
      <c r="B19" s="8" t="s">
        <v>122</v>
      </c>
      <c r="C19" s="8" t="s">
        <v>123</v>
      </c>
    </row>
    <row r="20" spans="1:3" ht="27.95" customHeight="1" x14ac:dyDescent="0.25">
      <c r="A20" s="21" t="s">
        <v>124</v>
      </c>
      <c r="B20" s="22" t="s">
        <v>125</v>
      </c>
      <c r="C20" s="22" t="s">
        <v>126</v>
      </c>
    </row>
  </sheetData>
  <mergeCells count="2">
    <mergeCell ref="A1:C1"/>
    <mergeCell ref="A13:C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Bug Report</vt:lpstr>
      <vt:lpstr>Summary Dashboard</vt:lpstr>
      <vt:lpstr>SDLC-STLC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saad ahmed asad</cp:lastModifiedBy>
  <dcterms:created xsi:type="dcterms:W3CDTF">2026-05-16T10:31:55Z</dcterms:created>
  <dcterms:modified xsi:type="dcterms:W3CDTF">2026-05-29T23:34:39Z</dcterms:modified>
</cp:coreProperties>
</file>